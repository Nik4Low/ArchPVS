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3881c1fc3c2664c1/Документы/АрхПВС/ЛР1/"/>
    </mc:Choice>
  </mc:AlternateContent>
  <xr:revisionPtr revIDLastSave="173" documentId="11_AD4DF75460589B3ACB7284A70F9867FA5BDEDD8A" xr6:coauthVersionLast="47" xr6:coauthVersionMax="47" xr10:uidLastSave="{5CF67F8A-2B1F-4043-9C6D-892B528A1A8D}"/>
  <bookViews>
    <workbookView xWindow="-108" yWindow="-108" windowWidth="23256" windowHeight="12456" xr2:uid="{00000000-000D-0000-FFFF-FFFF00000000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7" i="1" l="1"/>
  <c r="P7" i="1" s="1"/>
  <c r="I5" i="1"/>
  <c r="M5" i="1"/>
  <c r="M6" i="1"/>
  <c r="M7" i="1"/>
  <c r="M4" i="1"/>
  <c r="L5" i="1"/>
  <c r="L6" i="1"/>
  <c r="L7" i="1"/>
  <c r="L4" i="1"/>
  <c r="J5" i="1"/>
  <c r="J6" i="1"/>
  <c r="J7" i="1"/>
  <c r="J4" i="1"/>
  <c r="I6" i="1"/>
  <c r="I7" i="1"/>
  <c r="I4" i="1"/>
  <c r="G7" i="1"/>
  <c r="G5" i="1"/>
  <c r="G6" i="1"/>
  <c r="G4" i="1"/>
  <c r="F5" i="1"/>
  <c r="F6" i="1"/>
  <c r="F7" i="1"/>
  <c r="F4" i="1"/>
  <c r="D5" i="1"/>
  <c r="D6" i="1"/>
  <c r="D7" i="1"/>
  <c r="D4" i="1"/>
  <c r="C4" i="1"/>
  <c r="P4" i="1"/>
  <c r="C5" i="1"/>
  <c r="C6" i="1"/>
  <c r="C7" i="1"/>
  <c r="O4" i="1"/>
  <c r="S5" i="1"/>
  <c r="S6" i="1"/>
  <c r="R5" i="1"/>
  <c r="R6" i="1"/>
  <c r="R7" i="1"/>
  <c r="S7" i="1" s="1"/>
  <c r="R4" i="1"/>
  <c r="S4" i="1" s="1"/>
  <c r="O5" i="1"/>
  <c r="P5" i="1" s="1"/>
  <c r="O6" i="1"/>
  <c r="P6" i="1" s="1"/>
  <c r="D20" i="1"/>
  <c r="B25" i="1"/>
  <c r="B24" i="1"/>
  <c r="C17" i="1"/>
  <c r="D23" i="1" l="1"/>
  <c r="D24" i="1"/>
  <c r="D25" i="1"/>
</calcChain>
</file>

<file path=xl/sharedStrings.xml><?xml version="1.0" encoding="utf-8"?>
<sst xmlns="http://schemas.openxmlformats.org/spreadsheetml/2006/main" count="58" uniqueCount="14">
  <si>
    <t>M=</t>
  </si>
  <si>
    <r>
      <t>y</t>
    </r>
    <r>
      <rPr>
        <vertAlign val="subscript"/>
        <sz val="14"/>
        <color theme="1"/>
        <rFont val="Times New Roman"/>
        <family val="1"/>
        <charset val="204"/>
      </rPr>
      <t>i</t>
    </r>
    <r>
      <rPr>
        <sz val="14"/>
        <color theme="1"/>
        <rFont val="Times New Roman"/>
        <family val="1"/>
        <charset val="204"/>
      </rPr>
      <t xml:space="preserve"> =  </t>
    </r>
  </si>
  <si>
    <t>y</t>
  </si>
  <si>
    <t xml:space="preserve"> =</t>
  </si>
  <si>
    <t>Ускорение</t>
  </si>
  <si>
    <t>Эффективность</t>
  </si>
  <si>
    <t>Кол-во процессов</t>
  </si>
  <si>
    <t>При M = 10</t>
  </si>
  <si>
    <t>Время</t>
  </si>
  <si>
    <t>При М = 100</t>
  </si>
  <si>
    <t>При М = 500</t>
  </si>
  <si>
    <t>При М = 1000</t>
  </si>
  <si>
    <t>При М = 5000</t>
  </si>
  <si>
    <t>При М = 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</si>
</sst>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Times New Roman"/>
      <family val="1"/>
      <charset val="204"/>
    </font>
    <font>
      <vertAlign val="subscript"/>
      <sz val="14"/>
      <color theme="1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 applyAlignment="1">
      <alignment horizontal="right" vertical="center" indent="5"/>
    </xf>
    <xf numFmtId="2" fontId="0" fillId="0" borderId="0" xfId="0" applyNumberFormat="1"/>
    <xf numFmtId="2" fontId="0" fillId="0" borderId="0" xfId="0" applyNumberFormat="1" applyAlignment="1">
      <alignment horizontal="right"/>
    </xf>
    <xf numFmtId="0" fontId="0" fillId="0" borderId="0" xfId="0" applyBorder="1"/>
    <xf numFmtId="0" fontId="0" fillId="0" borderId="0" xfId="0" applyBorder="1" applyAlignment="1">
      <alignment horizontal="right"/>
    </xf>
    <xf numFmtId="0" fontId="0" fillId="3" borderId="1" xfId="0" applyFill="1" applyBorder="1"/>
    <xf numFmtId="0" fontId="0" fillId="2" borderId="1" xfId="0" applyFill="1" applyBorder="1"/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2" borderId="5" xfId="0" applyFill="1" applyBorder="1"/>
    <xf numFmtId="0" fontId="0" fillId="2" borderId="6" xfId="0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5" xfId="0" applyFill="1" applyBorder="1" applyAlignment="1">
      <alignment horizontal="right"/>
    </xf>
    <xf numFmtId="0" fontId="0" fillId="5" borderId="6" xfId="0" applyFill="1" applyBorder="1"/>
    <xf numFmtId="0" fontId="0" fillId="2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 wrapText="1"/>
    </xf>
    <xf numFmtId="0" fontId="0" fillId="4" borderId="5" xfId="0" applyFill="1" applyBorder="1" applyAlignment="1">
      <alignment horizontal="center" wrapText="1"/>
    </xf>
    <xf numFmtId="0" fontId="0" fillId="4" borderId="2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При</a:t>
            </a:r>
            <a:r>
              <a:rPr lang="ru-RU" baseline="0"/>
              <a:t> </a:t>
            </a:r>
            <a:r>
              <a:rPr lang="en-US" baseline="0"/>
              <a:t>M = 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Лист1!$A$1:$A$2</c:f>
              <c:strCache>
                <c:ptCount val="2"/>
                <c:pt idx="0">
                  <c:v>Кол-во процессов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Лист1!$A$3:$A$7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FC-4D15-9E1C-4E853505EDA3}"/>
            </c:ext>
          </c:extLst>
        </c:ser>
        <c:ser>
          <c:idx val="1"/>
          <c:order val="1"/>
          <c:tx>
            <c:strRef>
              <c:f>Лист1!$B$1:$B$2</c:f>
              <c:strCache>
                <c:ptCount val="2"/>
                <c:pt idx="0">
                  <c:v>При M = 10</c:v>
                </c:pt>
                <c:pt idx="1">
                  <c:v>Время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Лист1!$B$3:$B$7</c:f>
              <c:numCache>
                <c:formatCode>General</c:formatCode>
                <c:ptCount val="5"/>
                <c:pt idx="0">
                  <c:v>9.9999999999999995E-8</c:v>
                </c:pt>
                <c:pt idx="1">
                  <c:v>8.9999999999999996E-7</c:v>
                </c:pt>
                <c:pt idx="2">
                  <c:v>9.9999999999999995E-7</c:v>
                </c:pt>
                <c:pt idx="3">
                  <c:v>1.3999999999999999E-6</c:v>
                </c:pt>
                <c:pt idx="4">
                  <c:v>5.6999999999999996E-6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FC-4D15-9E1C-4E853505EDA3}"/>
            </c:ext>
          </c:extLst>
        </c:ser>
        <c:ser>
          <c:idx val="2"/>
          <c:order val="2"/>
          <c:tx>
            <c:strRef>
              <c:f>Лист1!$C$1:$C$2</c:f>
              <c:strCache>
                <c:ptCount val="2"/>
                <c:pt idx="0">
                  <c:v>При M = 10</c:v>
                </c:pt>
                <c:pt idx="1">
                  <c:v>Ускорение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Лист1!$C$3:$C$7</c:f>
              <c:numCache>
                <c:formatCode>General</c:formatCode>
                <c:ptCount val="5"/>
                <c:pt idx="0">
                  <c:v>1</c:v>
                </c:pt>
                <c:pt idx="1">
                  <c:v>0.1111111111111111</c:v>
                </c:pt>
                <c:pt idx="2">
                  <c:v>0.1</c:v>
                </c:pt>
                <c:pt idx="3">
                  <c:v>7.1428571428571425E-2</c:v>
                </c:pt>
                <c:pt idx="4">
                  <c:v>1.7543859649122806E-2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FC-4D15-9E1C-4E853505EDA3}"/>
            </c:ext>
          </c:extLst>
        </c:ser>
        <c:ser>
          <c:idx val="3"/>
          <c:order val="3"/>
          <c:tx>
            <c:strRef>
              <c:f>Лист1!$D$1:$D$2</c:f>
              <c:strCache>
                <c:ptCount val="2"/>
                <c:pt idx="0">
                  <c:v>При M = 10</c:v>
                </c:pt>
                <c:pt idx="1">
                  <c:v>Эффективность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Лист1!$D$3:$D$7</c:f>
              <c:numCache>
                <c:formatCode>General</c:formatCode>
                <c:ptCount val="5"/>
                <c:pt idx="0">
                  <c:v>1</c:v>
                </c:pt>
                <c:pt idx="1">
                  <c:v>5.5555555555555552E-2</c:v>
                </c:pt>
                <c:pt idx="2">
                  <c:v>2.5000000000000001E-2</c:v>
                </c:pt>
                <c:pt idx="3">
                  <c:v>8.9285714285714281E-3</c:v>
                </c:pt>
                <c:pt idx="4">
                  <c:v>1.0964912280701754E-3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FC-4D15-9E1C-4E853505ED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1604304"/>
        <c:axId val="1751605136"/>
      </c:lineChart>
      <c:catAx>
        <c:axId val="1751604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51605136"/>
        <c:crosses val="autoZero"/>
        <c:auto val="1"/>
        <c:lblAlgn val="ctr"/>
        <c:lblOffset val="100"/>
        <c:noMultiLvlLbl val="0"/>
      </c:catAx>
      <c:valAx>
        <c:axId val="175160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51604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При</a:t>
            </a:r>
            <a:r>
              <a:rPr lang="ru-RU" baseline="0"/>
              <a:t> </a:t>
            </a:r>
            <a:r>
              <a:rPr lang="en-US" baseline="0"/>
              <a:t>M = 100</a:t>
            </a:r>
            <a:endParaRPr lang="ru-RU"/>
          </a:p>
        </c:rich>
      </c:tx>
      <c:layout>
        <c:manualLayout>
          <c:xMode val="edge"/>
          <c:yMode val="edge"/>
          <c:x val="0.31501377952755905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Лист1!$A$1:$A$2</c:f>
              <c:strCache>
                <c:ptCount val="2"/>
                <c:pt idx="0">
                  <c:v>Кол-во процессов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Лист1!$A$3:$A$7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3F-4F27-AC0C-D62C7E152D52}"/>
            </c:ext>
          </c:extLst>
        </c:ser>
        <c:ser>
          <c:idx val="1"/>
          <c:order val="1"/>
          <c:tx>
            <c:strRef>
              <c:f>Лист1!$E$1:$E$2</c:f>
              <c:strCache>
                <c:ptCount val="2"/>
                <c:pt idx="0">
                  <c:v>При М = 100</c:v>
                </c:pt>
                <c:pt idx="1">
                  <c:v>Время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Лист1!$E$3:$E$7</c:f>
              <c:numCache>
                <c:formatCode>General</c:formatCode>
                <c:ptCount val="5"/>
                <c:pt idx="0">
                  <c:v>8.1000000000000004E-6</c:v>
                </c:pt>
                <c:pt idx="1">
                  <c:v>4.3000000000000003E-6</c:v>
                </c:pt>
                <c:pt idx="2">
                  <c:v>3.8999999999999999E-6</c:v>
                </c:pt>
                <c:pt idx="3">
                  <c:v>2.7999999999999999E-6</c:v>
                </c:pt>
                <c:pt idx="4">
                  <c:v>5.5599999999999996E-4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3F-4F27-AC0C-D62C7E152D52}"/>
            </c:ext>
          </c:extLst>
        </c:ser>
        <c:ser>
          <c:idx val="2"/>
          <c:order val="2"/>
          <c:tx>
            <c:strRef>
              <c:f>Лист1!$F$1:$F$2</c:f>
              <c:strCache>
                <c:ptCount val="2"/>
                <c:pt idx="0">
                  <c:v>При М = 100</c:v>
                </c:pt>
                <c:pt idx="1">
                  <c:v>Ускорение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Лист1!$F$3:$F$7</c:f>
              <c:numCache>
                <c:formatCode>General</c:formatCode>
                <c:ptCount val="5"/>
                <c:pt idx="0">
                  <c:v>1</c:v>
                </c:pt>
                <c:pt idx="1">
                  <c:v>1.8837209302325582</c:v>
                </c:pt>
                <c:pt idx="2">
                  <c:v>2.0769230769230771</c:v>
                </c:pt>
                <c:pt idx="3">
                  <c:v>2.8928571428571432</c:v>
                </c:pt>
                <c:pt idx="4">
                  <c:v>1.456834532374101E-2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3F-4F27-AC0C-D62C7E152D52}"/>
            </c:ext>
          </c:extLst>
        </c:ser>
        <c:ser>
          <c:idx val="3"/>
          <c:order val="3"/>
          <c:tx>
            <c:strRef>
              <c:f>Лист1!$G$1:$G$2</c:f>
              <c:strCache>
                <c:ptCount val="2"/>
                <c:pt idx="0">
                  <c:v>При М = 100</c:v>
                </c:pt>
                <c:pt idx="1">
                  <c:v>Эффективность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Лист1!$G$3:$G$7</c:f>
              <c:numCache>
                <c:formatCode>General</c:formatCode>
                <c:ptCount val="5"/>
                <c:pt idx="0">
                  <c:v>1</c:v>
                </c:pt>
                <c:pt idx="1">
                  <c:v>0.94186046511627908</c:v>
                </c:pt>
                <c:pt idx="2">
                  <c:v>0.51923076923076927</c:v>
                </c:pt>
                <c:pt idx="3">
                  <c:v>0.3616071428571429</c:v>
                </c:pt>
                <c:pt idx="4">
                  <c:v>9.105215827338131E-4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43F-4F27-AC0C-D62C7E152D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9884464"/>
        <c:axId val="1859885296"/>
      </c:lineChart>
      <c:catAx>
        <c:axId val="1859884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59885296"/>
        <c:crosses val="autoZero"/>
        <c:auto val="1"/>
        <c:lblAlgn val="ctr"/>
        <c:lblOffset val="100"/>
        <c:noMultiLvlLbl val="0"/>
      </c:catAx>
      <c:valAx>
        <c:axId val="185988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59884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При М = 500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Лист1!$A$1:$A$2</c:f>
              <c:strCache>
                <c:ptCount val="2"/>
                <c:pt idx="0">
                  <c:v>Кол-во процессов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Лист1!$A$3:$A$7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10-4BDD-A5D4-4FCE8F1E5A4E}"/>
            </c:ext>
          </c:extLst>
        </c:ser>
        <c:ser>
          <c:idx val="1"/>
          <c:order val="1"/>
          <c:tx>
            <c:strRef>
              <c:f>Лист1!$H$1:$H$2</c:f>
              <c:strCache>
                <c:ptCount val="2"/>
                <c:pt idx="0">
                  <c:v>При М = 500</c:v>
                </c:pt>
                <c:pt idx="1">
                  <c:v>Время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Лист1!$H$3:$H$7</c:f>
              <c:numCache>
                <c:formatCode>General</c:formatCode>
                <c:ptCount val="5"/>
                <c:pt idx="0">
                  <c:v>3.5609999999999998E-4</c:v>
                </c:pt>
                <c:pt idx="1">
                  <c:v>1.406E-4</c:v>
                </c:pt>
                <c:pt idx="2">
                  <c:v>7.0900000000000002E-5</c:v>
                </c:pt>
                <c:pt idx="3">
                  <c:v>1.6540000000000001E-4</c:v>
                </c:pt>
                <c:pt idx="4">
                  <c:v>5.3129999999999996E-4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10-4BDD-A5D4-4FCE8F1E5A4E}"/>
            </c:ext>
          </c:extLst>
        </c:ser>
        <c:ser>
          <c:idx val="2"/>
          <c:order val="2"/>
          <c:tx>
            <c:strRef>
              <c:f>Лист1!$I$1:$I$2</c:f>
              <c:strCache>
                <c:ptCount val="2"/>
                <c:pt idx="0">
                  <c:v>При М = 500</c:v>
                </c:pt>
                <c:pt idx="1">
                  <c:v>Ускорение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Лист1!$I$3:$I$7</c:f>
              <c:numCache>
                <c:formatCode>General</c:formatCode>
                <c:ptCount val="5"/>
                <c:pt idx="0">
                  <c:v>1</c:v>
                </c:pt>
                <c:pt idx="1">
                  <c:v>2.5327169274537695</c:v>
                </c:pt>
                <c:pt idx="2">
                  <c:v>5.0225669957686883</c:v>
                </c:pt>
                <c:pt idx="3">
                  <c:v>2.152962515114873</c:v>
                </c:pt>
                <c:pt idx="4">
                  <c:v>0.67024280067758335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10-4BDD-A5D4-4FCE8F1E5A4E}"/>
            </c:ext>
          </c:extLst>
        </c:ser>
        <c:ser>
          <c:idx val="3"/>
          <c:order val="3"/>
          <c:tx>
            <c:strRef>
              <c:f>Лист1!$J$1:$J$2</c:f>
              <c:strCache>
                <c:ptCount val="2"/>
                <c:pt idx="0">
                  <c:v>При М = 500</c:v>
                </c:pt>
                <c:pt idx="1">
                  <c:v>Эффективность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Лист1!$J$3:$J$7</c:f>
              <c:numCache>
                <c:formatCode>General</c:formatCode>
                <c:ptCount val="5"/>
                <c:pt idx="0">
                  <c:v>1</c:v>
                </c:pt>
                <c:pt idx="1">
                  <c:v>1.2663584637268848</c:v>
                </c:pt>
                <c:pt idx="2">
                  <c:v>1.2556417489421721</c:v>
                </c:pt>
                <c:pt idx="3">
                  <c:v>0.26912031438935913</c:v>
                </c:pt>
                <c:pt idx="4">
                  <c:v>4.1890175042348959E-2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610-4BDD-A5D4-4FCE8F1E5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5616560"/>
        <c:axId val="1765614896"/>
      </c:lineChart>
      <c:catAx>
        <c:axId val="176561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65614896"/>
        <c:crosses val="autoZero"/>
        <c:auto val="1"/>
        <c:lblAlgn val="ctr"/>
        <c:lblOffset val="100"/>
        <c:noMultiLvlLbl val="0"/>
      </c:catAx>
      <c:valAx>
        <c:axId val="1765614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65616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При М = 1000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Лист1!$A$1:$A$2</c:f>
              <c:strCache>
                <c:ptCount val="2"/>
                <c:pt idx="0">
                  <c:v>Кол-во процессов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Лист1!$A$3:$A$7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DC-4E0B-8057-D3C732E36838}"/>
            </c:ext>
          </c:extLst>
        </c:ser>
        <c:ser>
          <c:idx val="1"/>
          <c:order val="1"/>
          <c:tx>
            <c:strRef>
              <c:f>Лист1!$K$1:$K$2</c:f>
              <c:strCache>
                <c:ptCount val="2"/>
                <c:pt idx="0">
                  <c:v>При М = 1000</c:v>
                </c:pt>
                <c:pt idx="1">
                  <c:v>Время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Лист1!$K$3:$K$7</c:f>
              <c:numCache>
                <c:formatCode>General</c:formatCode>
                <c:ptCount val="5"/>
                <c:pt idx="0">
                  <c:v>1.2277E-3</c:v>
                </c:pt>
                <c:pt idx="1">
                  <c:v>5.9429999999999997E-4</c:v>
                </c:pt>
                <c:pt idx="2">
                  <c:v>3.301E-4</c:v>
                </c:pt>
                <c:pt idx="3">
                  <c:v>1.5430000000000001E-4</c:v>
                </c:pt>
                <c:pt idx="4">
                  <c:v>9.836999999999999E-4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DC-4E0B-8057-D3C732E36838}"/>
            </c:ext>
          </c:extLst>
        </c:ser>
        <c:ser>
          <c:idx val="2"/>
          <c:order val="2"/>
          <c:tx>
            <c:strRef>
              <c:f>Лист1!$L$1:$L$2</c:f>
              <c:strCache>
                <c:ptCount val="2"/>
                <c:pt idx="0">
                  <c:v>При М = 1000</c:v>
                </c:pt>
                <c:pt idx="1">
                  <c:v>Ускорение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Лист1!$L$3:$L$7</c:f>
              <c:numCache>
                <c:formatCode>General</c:formatCode>
                <c:ptCount val="5"/>
                <c:pt idx="0">
                  <c:v>1</c:v>
                </c:pt>
                <c:pt idx="1">
                  <c:v>2.0657916876998148</c:v>
                </c:pt>
                <c:pt idx="2">
                  <c:v>3.7191760072705238</c:v>
                </c:pt>
                <c:pt idx="3">
                  <c:v>7.956578094620868</c:v>
                </c:pt>
                <c:pt idx="4">
                  <c:v>1.2480431025719225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DC-4E0B-8057-D3C732E36838}"/>
            </c:ext>
          </c:extLst>
        </c:ser>
        <c:ser>
          <c:idx val="3"/>
          <c:order val="3"/>
          <c:tx>
            <c:strRef>
              <c:f>Лист1!$M$1:$M$2</c:f>
              <c:strCache>
                <c:ptCount val="2"/>
                <c:pt idx="0">
                  <c:v>При М = 1000</c:v>
                </c:pt>
                <c:pt idx="1">
                  <c:v>Эффективность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Лист1!$M$3:$M$7</c:f>
              <c:numCache>
                <c:formatCode>General</c:formatCode>
                <c:ptCount val="5"/>
                <c:pt idx="0">
                  <c:v>1</c:v>
                </c:pt>
                <c:pt idx="1">
                  <c:v>1.0328958438499074</c:v>
                </c:pt>
                <c:pt idx="2">
                  <c:v>0.92979400181763094</c:v>
                </c:pt>
                <c:pt idx="3">
                  <c:v>0.99457226182760849</c:v>
                </c:pt>
                <c:pt idx="4">
                  <c:v>7.8002693910745158E-2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BDC-4E0B-8057-D3C732E368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3208064"/>
        <c:axId val="1873207232"/>
      </c:lineChart>
      <c:catAx>
        <c:axId val="1873208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3207232"/>
        <c:crosses val="autoZero"/>
        <c:auto val="1"/>
        <c:lblAlgn val="ctr"/>
        <c:lblOffset val="100"/>
        <c:noMultiLvlLbl val="0"/>
      </c:catAx>
      <c:valAx>
        <c:axId val="1873207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3208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При</a:t>
            </a:r>
            <a:r>
              <a:rPr lang="ru-RU" baseline="0"/>
              <a:t> М = 5000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Лист1!$A$1:$A$2</c:f>
              <c:strCache>
                <c:ptCount val="2"/>
                <c:pt idx="0">
                  <c:v>Кол-во процессов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Лист1!$A$3:$A$7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F2-4085-8472-A58ABAEF60EB}"/>
            </c:ext>
          </c:extLst>
        </c:ser>
        <c:ser>
          <c:idx val="1"/>
          <c:order val="1"/>
          <c:tx>
            <c:strRef>
              <c:f>Лист1!$N$1:$N$2</c:f>
              <c:strCache>
                <c:ptCount val="2"/>
                <c:pt idx="0">
                  <c:v>При М = 5000</c:v>
                </c:pt>
                <c:pt idx="1">
                  <c:v>Время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Лист1!$N$3:$N$7</c:f>
              <c:numCache>
                <c:formatCode>General</c:formatCode>
                <c:ptCount val="5"/>
                <c:pt idx="0">
                  <c:v>3.1764000000000001E-2</c:v>
                </c:pt>
                <c:pt idx="1">
                  <c:v>1.4208E-2</c:v>
                </c:pt>
                <c:pt idx="2">
                  <c:v>8.77E-3</c:v>
                </c:pt>
                <c:pt idx="3">
                  <c:v>9.8080000000000007E-3</c:v>
                </c:pt>
                <c:pt idx="4">
                  <c:v>9.8019999999999999E-3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F2-4085-8472-A58ABAEF60EB}"/>
            </c:ext>
          </c:extLst>
        </c:ser>
        <c:ser>
          <c:idx val="2"/>
          <c:order val="2"/>
          <c:tx>
            <c:strRef>
              <c:f>Лист1!$O$1:$O$2</c:f>
              <c:strCache>
                <c:ptCount val="2"/>
                <c:pt idx="0">
                  <c:v>При М = 5000</c:v>
                </c:pt>
                <c:pt idx="1">
                  <c:v>Ускорение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Лист1!$O$3:$O$7</c:f>
              <c:numCache>
                <c:formatCode>General</c:formatCode>
                <c:ptCount val="5"/>
                <c:pt idx="0">
                  <c:v>1</c:v>
                </c:pt>
                <c:pt idx="1">
                  <c:v>2.2356418918918921</c:v>
                </c:pt>
                <c:pt idx="2">
                  <c:v>3.6218928164196122</c:v>
                </c:pt>
                <c:pt idx="3">
                  <c:v>3.2385807504078303</c:v>
                </c:pt>
                <c:pt idx="4">
                  <c:v>3.2405631503774739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F2-4085-8472-A58ABAEF60EB}"/>
            </c:ext>
          </c:extLst>
        </c:ser>
        <c:ser>
          <c:idx val="3"/>
          <c:order val="3"/>
          <c:tx>
            <c:strRef>
              <c:f>Лист1!$P$1:$P$2</c:f>
              <c:strCache>
                <c:ptCount val="2"/>
                <c:pt idx="0">
                  <c:v>При М = 5000</c:v>
                </c:pt>
                <c:pt idx="1">
                  <c:v>Эффективность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Лист1!$P$3:$P$7</c:f>
              <c:numCache>
                <c:formatCode>General</c:formatCode>
                <c:ptCount val="5"/>
                <c:pt idx="0">
                  <c:v>1</c:v>
                </c:pt>
                <c:pt idx="1">
                  <c:v>1.1178209459459461</c:v>
                </c:pt>
                <c:pt idx="2">
                  <c:v>0.90547320410490306</c:v>
                </c:pt>
                <c:pt idx="3">
                  <c:v>0.40482259380097879</c:v>
                </c:pt>
                <c:pt idx="4">
                  <c:v>0.20253519689859212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3F2-4085-8472-A58ABAEF60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0591728"/>
        <c:axId val="1950593392"/>
      </c:lineChart>
      <c:catAx>
        <c:axId val="1950591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50593392"/>
        <c:crosses val="autoZero"/>
        <c:auto val="1"/>
        <c:lblAlgn val="ctr"/>
        <c:lblOffset val="100"/>
        <c:noMultiLvlLbl val="0"/>
      </c:catAx>
      <c:valAx>
        <c:axId val="195059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50591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При М = 10000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Лист1!$A$1:$A$2</c:f>
              <c:strCache>
                <c:ptCount val="2"/>
                <c:pt idx="0">
                  <c:v>Кол-во процессов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Лист1!$A$3:$A$7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8D-45B7-8C63-768873348825}"/>
            </c:ext>
          </c:extLst>
        </c:ser>
        <c:ser>
          <c:idx val="1"/>
          <c:order val="1"/>
          <c:tx>
            <c:strRef>
              <c:f>Лист1!$Q$1:$Q$2</c:f>
              <c:strCache>
                <c:ptCount val="2"/>
                <c:pt idx="0">
                  <c:v>При М = 10000</c:v>
                </c:pt>
                <c:pt idx="1">
                  <c:v>Время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Лист1!$Q$3:$Q$7</c:f>
              <c:numCache>
                <c:formatCode>General</c:formatCode>
                <c:ptCount val="5"/>
                <c:pt idx="0">
                  <c:v>0.123156</c:v>
                </c:pt>
                <c:pt idx="1">
                  <c:v>5.9962000000000001E-2</c:v>
                </c:pt>
                <c:pt idx="2">
                  <c:v>3.4895000000000002E-2</c:v>
                </c:pt>
                <c:pt idx="3">
                  <c:v>3.4821999999999999E-2</c:v>
                </c:pt>
                <c:pt idx="4">
                  <c:v>3.0248000000000001E-2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8D-45B7-8C63-768873348825}"/>
            </c:ext>
          </c:extLst>
        </c:ser>
        <c:ser>
          <c:idx val="2"/>
          <c:order val="2"/>
          <c:tx>
            <c:strRef>
              <c:f>Лист1!$R$1:$R$2</c:f>
              <c:strCache>
                <c:ptCount val="2"/>
                <c:pt idx="0">
                  <c:v>При М = 10000</c:v>
                </c:pt>
                <c:pt idx="1">
                  <c:v>Ускорение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Лист1!$R$3:$R$7</c:f>
              <c:numCache>
                <c:formatCode>General</c:formatCode>
                <c:ptCount val="5"/>
                <c:pt idx="0">
                  <c:v>1</c:v>
                </c:pt>
                <c:pt idx="1">
                  <c:v>2.0539008038424336</c:v>
                </c:pt>
                <c:pt idx="2">
                  <c:v>3.5293308496919327</c:v>
                </c:pt>
                <c:pt idx="3">
                  <c:v>3.5367296536672219</c:v>
                </c:pt>
                <c:pt idx="4">
                  <c:v>4.0715419201269505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8D-45B7-8C63-768873348825}"/>
            </c:ext>
          </c:extLst>
        </c:ser>
        <c:ser>
          <c:idx val="3"/>
          <c:order val="3"/>
          <c:tx>
            <c:strRef>
              <c:f>Лист1!$S$1:$S$2</c:f>
              <c:strCache>
                <c:ptCount val="2"/>
                <c:pt idx="0">
                  <c:v>При М = 10000</c:v>
                </c:pt>
                <c:pt idx="1">
                  <c:v>Эффективность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Лист1!$S$3:$S$7</c:f>
              <c:numCache>
                <c:formatCode>General</c:formatCode>
                <c:ptCount val="5"/>
                <c:pt idx="0">
                  <c:v>1</c:v>
                </c:pt>
                <c:pt idx="1">
                  <c:v>1.0269504019212168</c:v>
                </c:pt>
                <c:pt idx="2">
                  <c:v>0.88233271242298317</c:v>
                </c:pt>
                <c:pt idx="3">
                  <c:v>0.44209120670840274</c:v>
                </c:pt>
                <c:pt idx="4">
                  <c:v>0.25447137000793441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C8D-45B7-8C63-768873348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7670176"/>
        <c:axId val="1947671840"/>
      </c:lineChart>
      <c:catAx>
        <c:axId val="1947670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47671840"/>
        <c:crosses val="autoZero"/>
        <c:auto val="1"/>
        <c:lblAlgn val="ctr"/>
        <c:lblOffset val="100"/>
        <c:noMultiLvlLbl val="0"/>
      </c:catAx>
      <c:valAx>
        <c:axId val="1947671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47670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3" Type="http://schemas.openxmlformats.org/officeDocument/2006/relationships/image" Target="../media/image3.png"/><Relationship Id="rId7" Type="http://schemas.openxmlformats.org/officeDocument/2006/relationships/chart" Target="../charts/chart4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chart" Target="../charts/chart1.xml"/><Relationship Id="rId9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335280</xdr:colOff>
      <xdr:row>12</xdr:row>
      <xdr:rowOff>22860</xdr:rowOff>
    </xdr:from>
    <xdr:to>
      <xdr:col>3</xdr:col>
      <xdr:colOff>45720</xdr:colOff>
      <xdr:row>12</xdr:row>
      <xdr:rowOff>243840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1A39909F-367F-41A7-9552-A4371B4D5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1825" y="202969"/>
          <a:ext cx="2550622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7620</xdr:colOff>
      <xdr:row>15</xdr:row>
      <xdr:rowOff>53340</xdr:rowOff>
    </xdr:from>
    <xdr:to>
      <xdr:col>1</xdr:col>
      <xdr:colOff>594360</xdr:colOff>
      <xdr:row>17</xdr:row>
      <xdr:rowOff>91440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43E927C-98A8-4CB2-834D-DD2D08B95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6120" y="861060"/>
          <a:ext cx="1371600" cy="403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15240</xdr:colOff>
      <xdr:row>18</xdr:row>
      <xdr:rowOff>60960</xdr:rowOff>
    </xdr:from>
    <xdr:to>
      <xdr:col>2</xdr:col>
      <xdr:colOff>601980</xdr:colOff>
      <xdr:row>20</xdr:row>
      <xdr:rowOff>106680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97F2E6D2-6F01-4BF2-B6ED-53CC9EF40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417320"/>
          <a:ext cx="1981200" cy="411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4482</xdr:colOff>
      <xdr:row>9</xdr:row>
      <xdr:rowOff>0</xdr:rowOff>
    </xdr:from>
    <xdr:to>
      <xdr:col>10</xdr:col>
      <xdr:colOff>470647</xdr:colOff>
      <xdr:row>23</xdr:row>
      <xdr:rowOff>152400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D6BF4E12-65A2-4EBC-9FA4-936B64E86B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730624</xdr:colOff>
      <xdr:row>8</xdr:row>
      <xdr:rowOff>170330</xdr:rowOff>
    </xdr:from>
    <xdr:to>
      <xdr:col>16</xdr:col>
      <xdr:colOff>363071</xdr:colOff>
      <xdr:row>23</xdr:row>
      <xdr:rowOff>143436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31C5365E-253E-4CBA-81DE-3BDA7D3BB6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605117</xdr:colOff>
      <xdr:row>9</xdr:row>
      <xdr:rowOff>1</xdr:rowOff>
    </xdr:from>
    <xdr:to>
      <xdr:col>23</xdr:col>
      <xdr:colOff>237564</xdr:colOff>
      <xdr:row>23</xdr:row>
      <xdr:rowOff>152401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2692908B-EDBD-4932-BC52-20DA2BE25E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13447</xdr:colOff>
      <xdr:row>24</xdr:row>
      <xdr:rowOff>161364</xdr:rowOff>
    </xdr:from>
    <xdr:to>
      <xdr:col>10</xdr:col>
      <xdr:colOff>457200</xdr:colOff>
      <xdr:row>40</xdr:row>
      <xdr:rowOff>35859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96048B6B-3F84-459C-85A9-A9E384FA4A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4482</xdr:colOff>
      <xdr:row>24</xdr:row>
      <xdr:rowOff>170329</xdr:rowOff>
    </xdr:from>
    <xdr:to>
      <xdr:col>16</xdr:col>
      <xdr:colOff>372035</xdr:colOff>
      <xdr:row>40</xdr:row>
      <xdr:rowOff>44824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02C56CA0-D215-49A2-BBD9-B2B673ACF8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22412</xdr:colOff>
      <xdr:row>24</xdr:row>
      <xdr:rowOff>170328</xdr:rowOff>
    </xdr:from>
    <xdr:to>
      <xdr:col>23</xdr:col>
      <xdr:colOff>291353</xdr:colOff>
      <xdr:row>40</xdr:row>
      <xdr:rowOff>44823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9D4B69C9-9B81-4CAC-9026-151C7665EA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8"/>
  <sheetViews>
    <sheetView tabSelected="1" topLeftCell="E1" zoomScale="70" zoomScaleNormal="70" workbookViewId="0">
      <selection activeCell="K28" sqref="K28"/>
    </sheetView>
  </sheetViews>
  <sheetFormatPr defaultRowHeight="14.4" x14ac:dyDescent="0.3"/>
  <cols>
    <col min="1" max="1" width="12" bestFit="1" customWidth="1"/>
    <col min="2" max="2" width="11.109375" bestFit="1" customWidth="1"/>
    <col min="3" max="3" width="11.44140625" bestFit="1" customWidth="1"/>
    <col min="4" max="4" width="16.21875" bestFit="1" customWidth="1"/>
    <col min="5" max="5" width="11.109375" bestFit="1" customWidth="1"/>
    <col min="6" max="6" width="11.44140625" bestFit="1" customWidth="1"/>
    <col min="7" max="7" width="15.77734375" bestFit="1" customWidth="1"/>
    <col min="8" max="8" width="10.77734375" bestFit="1" customWidth="1"/>
    <col min="9" max="9" width="10.33203125" bestFit="1" customWidth="1"/>
    <col min="10" max="10" width="14.77734375" bestFit="1" customWidth="1"/>
    <col min="11" max="11" width="10.77734375" bestFit="1" customWidth="1"/>
    <col min="12" max="12" width="10" bestFit="1" customWidth="1"/>
    <col min="13" max="13" width="14.77734375" style="3" bestFit="1" customWidth="1"/>
    <col min="14" max="14" width="9.21875" customWidth="1"/>
    <col min="15" max="15" width="12.44140625" bestFit="1" customWidth="1"/>
    <col min="16" max="16" width="14.77734375" bestFit="1" customWidth="1"/>
    <col min="17" max="17" width="9.21875" customWidth="1"/>
    <col min="18" max="18" width="12.44140625" bestFit="1" customWidth="1"/>
    <col min="19" max="19" width="14.77734375" bestFit="1" customWidth="1"/>
  </cols>
  <sheetData>
    <row r="1" spans="1:19" ht="15" thickBot="1" x14ac:dyDescent="0.35">
      <c r="A1" s="22" t="s">
        <v>6</v>
      </c>
      <c r="B1" s="24" t="s">
        <v>7</v>
      </c>
      <c r="C1" s="21"/>
      <c r="D1" s="21"/>
      <c r="E1" s="21" t="s">
        <v>9</v>
      </c>
      <c r="F1" s="21"/>
      <c r="G1" s="21"/>
      <c r="H1" s="21" t="s">
        <v>10</v>
      </c>
      <c r="I1" s="21"/>
      <c r="J1" s="21"/>
      <c r="K1" s="21" t="s">
        <v>11</v>
      </c>
      <c r="L1" s="21"/>
      <c r="M1" s="21"/>
      <c r="N1" s="21" t="s">
        <v>12</v>
      </c>
      <c r="O1" s="21"/>
      <c r="P1" s="21"/>
      <c r="Q1" s="21" t="s">
        <v>13</v>
      </c>
      <c r="R1" s="21"/>
      <c r="S1" s="21"/>
    </row>
    <row r="2" spans="1:19" x14ac:dyDescent="0.3">
      <c r="A2" s="23"/>
      <c r="B2" s="14" t="s">
        <v>8</v>
      </c>
      <c r="C2" s="18" t="s">
        <v>4</v>
      </c>
      <c r="D2" s="9" t="s">
        <v>5</v>
      </c>
      <c r="E2" s="14" t="s">
        <v>8</v>
      </c>
      <c r="F2" s="18" t="s">
        <v>4</v>
      </c>
      <c r="G2" s="9" t="s">
        <v>5</v>
      </c>
      <c r="H2" s="14" t="s">
        <v>8</v>
      </c>
      <c r="I2" s="18" t="s">
        <v>4</v>
      </c>
      <c r="J2" s="9" t="s">
        <v>5</v>
      </c>
      <c r="K2" s="14" t="s">
        <v>8</v>
      </c>
      <c r="L2" s="18" t="s">
        <v>4</v>
      </c>
      <c r="M2" s="9" t="s">
        <v>5</v>
      </c>
      <c r="N2" s="14" t="s">
        <v>8</v>
      </c>
      <c r="O2" s="18" t="s">
        <v>4</v>
      </c>
      <c r="P2" s="9" t="s">
        <v>5</v>
      </c>
      <c r="Q2" s="14" t="s">
        <v>8</v>
      </c>
      <c r="R2" s="18" t="s">
        <v>4</v>
      </c>
      <c r="S2" s="9" t="s">
        <v>5</v>
      </c>
    </row>
    <row r="3" spans="1:19" x14ac:dyDescent="0.3">
      <c r="A3" s="12">
        <v>1</v>
      </c>
      <c r="B3" s="15">
        <v>9.9999999999999995E-8</v>
      </c>
      <c r="C3" s="19">
        <v>1</v>
      </c>
      <c r="D3" s="10">
        <v>1</v>
      </c>
      <c r="E3" s="15">
        <v>8.1000000000000004E-6</v>
      </c>
      <c r="F3" s="19">
        <v>1</v>
      </c>
      <c r="G3" s="10">
        <v>1</v>
      </c>
      <c r="H3" s="15">
        <v>3.5609999999999998E-4</v>
      </c>
      <c r="I3" s="19">
        <v>1</v>
      </c>
      <c r="J3" s="10">
        <v>1</v>
      </c>
      <c r="K3" s="15">
        <v>1.2277E-3</v>
      </c>
      <c r="L3" s="19">
        <v>1</v>
      </c>
      <c r="M3" s="10">
        <v>1</v>
      </c>
      <c r="N3" s="15">
        <v>3.1764000000000001E-2</v>
      </c>
      <c r="O3" s="19">
        <v>1</v>
      </c>
      <c r="P3" s="10">
        <v>1</v>
      </c>
      <c r="Q3" s="15">
        <v>0.123156</v>
      </c>
      <c r="R3" s="19">
        <v>1</v>
      </c>
      <c r="S3" s="10">
        <v>1</v>
      </c>
    </row>
    <row r="4" spans="1:19" s="1" customFormat="1" x14ac:dyDescent="0.3">
      <c r="A4" s="12">
        <v>2</v>
      </c>
      <c r="B4" s="16">
        <v>8.9999999999999996E-7</v>
      </c>
      <c r="C4" s="19">
        <f>$B$3/B4</f>
        <v>0.1111111111111111</v>
      </c>
      <c r="D4" s="10">
        <f>C4/A4</f>
        <v>5.5555555555555552E-2</v>
      </c>
      <c r="E4" s="15">
        <v>4.3000000000000003E-6</v>
      </c>
      <c r="F4" s="19">
        <f>$E$3/E4</f>
        <v>1.8837209302325582</v>
      </c>
      <c r="G4" s="10">
        <f>F4/A4</f>
        <v>0.94186046511627908</v>
      </c>
      <c r="H4" s="15">
        <v>1.406E-4</v>
      </c>
      <c r="I4" s="19">
        <f>$H$3/H4</f>
        <v>2.5327169274537695</v>
      </c>
      <c r="J4" s="10">
        <f>I4/A4</f>
        <v>1.2663584637268848</v>
      </c>
      <c r="K4" s="15">
        <v>5.9429999999999997E-4</v>
      </c>
      <c r="L4" s="19">
        <f>$K$3/K4</f>
        <v>2.0657916876998148</v>
      </c>
      <c r="M4" s="10">
        <f>L4/A4</f>
        <v>1.0328958438499074</v>
      </c>
      <c r="N4" s="15">
        <v>1.4208E-2</v>
      </c>
      <c r="O4" s="19">
        <f>$N$3/N4</f>
        <v>2.2356418918918921</v>
      </c>
      <c r="P4" s="10">
        <f>O4/A4</f>
        <v>1.1178209459459461</v>
      </c>
      <c r="Q4" s="15">
        <v>5.9962000000000001E-2</v>
      </c>
      <c r="R4" s="19">
        <f>$Q$3/Q4</f>
        <v>2.0539008038424336</v>
      </c>
      <c r="S4" s="10">
        <f>R4/A4</f>
        <v>1.0269504019212168</v>
      </c>
    </row>
    <row r="5" spans="1:19" x14ac:dyDescent="0.3">
      <c r="A5" s="12">
        <v>4</v>
      </c>
      <c r="B5" s="16">
        <v>9.9999999999999995E-7</v>
      </c>
      <c r="C5" s="19">
        <f t="shared" ref="C5:C7" si="0">$B$3/B5</f>
        <v>0.1</v>
      </c>
      <c r="D5" s="10">
        <f t="shared" ref="D5:D7" si="1">C5/A5</f>
        <v>2.5000000000000001E-2</v>
      </c>
      <c r="E5" s="16">
        <v>3.8999999999999999E-6</v>
      </c>
      <c r="F5" s="19">
        <f t="shared" ref="F5:F7" si="2">$E$3/E5</f>
        <v>2.0769230769230771</v>
      </c>
      <c r="G5" s="10">
        <f t="shared" ref="G5:G6" si="3">F5/A5</f>
        <v>0.51923076923076927</v>
      </c>
      <c r="H5" s="16">
        <v>7.0900000000000002E-5</v>
      </c>
      <c r="I5" s="19">
        <f>$H$3/H5</f>
        <v>5.0225669957686883</v>
      </c>
      <c r="J5" s="10">
        <f t="shared" ref="J5:J7" si="4">I5/A5</f>
        <v>1.2556417489421721</v>
      </c>
      <c r="K5" s="16">
        <v>3.301E-4</v>
      </c>
      <c r="L5" s="19">
        <f t="shared" ref="L5:L7" si="5">$K$3/K5</f>
        <v>3.7191760072705238</v>
      </c>
      <c r="M5" s="10">
        <f t="shared" ref="M5:M7" si="6">L5/A5</f>
        <v>0.92979400181763094</v>
      </c>
      <c r="N5" s="16">
        <v>8.77E-3</v>
      </c>
      <c r="O5" s="19">
        <f>$N$3/N5</f>
        <v>3.6218928164196122</v>
      </c>
      <c r="P5" s="10">
        <f t="shared" ref="P5:P7" si="7">O5/A5</f>
        <v>0.90547320410490306</v>
      </c>
      <c r="Q5" s="16">
        <v>3.4895000000000002E-2</v>
      </c>
      <c r="R5" s="19">
        <f t="shared" ref="R5:R7" si="8">$Q$3/Q5</f>
        <v>3.5293308496919327</v>
      </c>
      <c r="S5" s="10">
        <f t="shared" ref="S5:S7" si="9">R5/A5</f>
        <v>0.88233271242298317</v>
      </c>
    </row>
    <row r="6" spans="1:19" x14ac:dyDescent="0.3">
      <c r="A6" s="12">
        <v>8</v>
      </c>
      <c r="B6" s="15">
        <v>1.3999999999999999E-6</v>
      </c>
      <c r="C6" s="19">
        <f t="shared" si="0"/>
        <v>7.1428571428571425E-2</v>
      </c>
      <c r="D6" s="10">
        <f t="shared" si="1"/>
        <v>8.9285714285714281E-3</v>
      </c>
      <c r="E6" s="15">
        <v>2.7999999999999999E-6</v>
      </c>
      <c r="F6" s="19">
        <f t="shared" si="2"/>
        <v>2.8928571428571432</v>
      </c>
      <c r="G6" s="10">
        <f t="shared" si="3"/>
        <v>0.3616071428571429</v>
      </c>
      <c r="H6" s="15">
        <v>1.6540000000000001E-4</v>
      </c>
      <c r="I6" s="19">
        <f t="shared" ref="I6:I7" si="10">$H$3/H6</f>
        <v>2.152962515114873</v>
      </c>
      <c r="J6" s="10">
        <f t="shared" si="4"/>
        <v>0.26912031438935913</v>
      </c>
      <c r="K6" s="15">
        <v>1.5430000000000001E-4</v>
      </c>
      <c r="L6" s="19">
        <f t="shared" si="5"/>
        <v>7.956578094620868</v>
      </c>
      <c r="M6" s="10">
        <f t="shared" si="6"/>
        <v>0.99457226182760849</v>
      </c>
      <c r="N6" s="15">
        <v>9.8080000000000007E-3</v>
      </c>
      <c r="O6" s="19">
        <f t="shared" ref="O6:O7" si="11">$N$3/N6</f>
        <v>3.2385807504078303</v>
      </c>
      <c r="P6" s="10">
        <f t="shared" si="7"/>
        <v>0.40482259380097879</v>
      </c>
      <c r="Q6" s="15">
        <v>3.4821999999999999E-2</v>
      </c>
      <c r="R6" s="19">
        <f t="shared" si="8"/>
        <v>3.5367296536672219</v>
      </c>
      <c r="S6" s="10">
        <f t="shared" si="9"/>
        <v>0.44209120670840274</v>
      </c>
    </row>
    <row r="7" spans="1:19" ht="15" thickBot="1" x14ac:dyDescent="0.35">
      <c r="A7" s="13">
        <v>16</v>
      </c>
      <c r="B7" s="17">
        <v>5.6999999999999996E-6</v>
      </c>
      <c r="C7" s="19">
        <f t="shared" si="0"/>
        <v>1.7543859649122806E-2</v>
      </c>
      <c r="D7" s="10">
        <f t="shared" si="1"/>
        <v>1.0964912280701754E-3</v>
      </c>
      <c r="E7" s="17">
        <v>5.5599999999999996E-4</v>
      </c>
      <c r="F7" s="19">
        <f t="shared" si="2"/>
        <v>1.456834532374101E-2</v>
      </c>
      <c r="G7" s="10">
        <f>F7/A7</f>
        <v>9.105215827338131E-4</v>
      </c>
      <c r="H7" s="17">
        <v>5.3129999999999996E-4</v>
      </c>
      <c r="I7" s="19">
        <f t="shared" si="10"/>
        <v>0.67024280067758335</v>
      </c>
      <c r="J7" s="10">
        <f t="shared" si="4"/>
        <v>4.1890175042348959E-2</v>
      </c>
      <c r="K7" s="17">
        <v>9.836999999999999E-4</v>
      </c>
      <c r="L7" s="19">
        <f t="shared" si="5"/>
        <v>1.2480431025719225</v>
      </c>
      <c r="M7" s="10">
        <f t="shared" si="6"/>
        <v>7.8002693910745158E-2</v>
      </c>
      <c r="N7" s="17">
        <v>9.8019999999999999E-3</v>
      </c>
      <c r="O7" s="20">
        <f t="shared" si="11"/>
        <v>3.2405631503774739</v>
      </c>
      <c r="P7" s="11">
        <f t="shared" si="7"/>
        <v>0.20253519689859212</v>
      </c>
      <c r="Q7" s="17">
        <v>3.0248000000000001E-2</v>
      </c>
      <c r="R7" s="20">
        <f t="shared" si="8"/>
        <v>4.0715419201269505</v>
      </c>
      <c r="S7" s="11">
        <f t="shared" si="9"/>
        <v>0.25447137000793441</v>
      </c>
    </row>
    <row r="8" spans="1:19" x14ac:dyDescent="0.3">
      <c r="A8" s="5"/>
      <c r="B8" s="5"/>
    </row>
    <row r="9" spans="1:19" x14ac:dyDescent="0.3">
      <c r="A9" s="5"/>
      <c r="B9" s="5"/>
    </row>
    <row r="10" spans="1:19" x14ac:dyDescent="0.3">
      <c r="A10" s="6"/>
      <c r="B10" s="5"/>
    </row>
    <row r="12" spans="1:19" x14ac:dyDescent="0.3">
      <c r="A12" t="s">
        <v>0</v>
      </c>
      <c r="B12">
        <v>100</v>
      </c>
      <c r="D12" s="3"/>
    </row>
    <row r="13" spans="1:19" ht="20.399999999999999" x14ac:dyDescent="0.3">
      <c r="A13" s="2" t="s">
        <v>1</v>
      </c>
      <c r="D13" s="3"/>
    </row>
    <row r="14" spans="1:19" x14ac:dyDescent="0.3">
      <c r="D14" s="3"/>
    </row>
    <row r="15" spans="1:19" x14ac:dyDescent="0.3">
      <c r="A15" s="1"/>
      <c r="B15" s="1"/>
      <c r="C15" s="1"/>
      <c r="D15" s="4"/>
    </row>
    <row r="16" spans="1:19" x14ac:dyDescent="0.3">
      <c r="D16" s="3"/>
    </row>
    <row r="17" spans="1:13" x14ac:dyDescent="0.3">
      <c r="C17">
        <f>(B12*(B12+1))/2</f>
        <v>5050</v>
      </c>
      <c r="D17" s="3"/>
    </row>
    <row r="18" spans="1:13" x14ac:dyDescent="0.3">
      <c r="D18" s="3"/>
    </row>
    <row r="19" spans="1:13" x14ac:dyDescent="0.3">
      <c r="D19" s="3"/>
    </row>
    <row r="20" spans="1:13" x14ac:dyDescent="0.3">
      <c r="D20" s="3">
        <f>((B12-1)*B12*(B12+1))/3</f>
        <v>333300</v>
      </c>
    </row>
    <row r="21" spans="1:13" x14ac:dyDescent="0.3">
      <c r="D21" s="3"/>
    </row>
    <row r="22" spans="1:13" x14ac:dyDescent="0.3">
      <c r="D22" s="3"/>
      <c r="H22" s="3"/>
      <c r="M22"/>
    </row>
    <row r="23" spans="1:13" x14ac:dyDescent="0.3">
      <c r="A23" t="s">
        <v>2</v>
      </c>
      <c r="B23">
        <v>0</v>
      </c>
      <c r="C23" t="s">
        <v>3</v>
      </c>
      <c r="D23" s="3">
        <f>((B23+1)*$C$17+$D$20)</f>
        <v>338350</v>
      </c>
      <c r="H23" s="3"/>
      <c r="M23"/>
    </row>
    <row r="24" spans="1:13" x14ac:dyDescent="0.3">
      <c r="A24" t="s">
        <v>2</v>
      </c>
      <c r="B24">
        <f>B12/2</f>
        <v>50</v>
      </c>
      <c r="C24" t="s">
        <v>3</v>
      </c>
      <c r="D24" s="3">
        <f>((B24+1)*$C$17+$D$20)</f>
        <v>590850</v>
      </c>
      <c r="H24" s="3"/>
      <c r="M24"/>
    </row>
    <row r="25" spans="1:13" x14ac:dyDescent="0.3">
      <c r="A25" t="s">
        <v>2</v>
      </c>
      <c r="B25">
        <f>B12-1</f>
        <v>99</v>
      </c>
      <c r="C25" t="s">
        <v>3</v>
      </c>
      <c r="D25" s="3">
        <f>((B25+1)*$C$17+$D$20)</f>
        <v>838300</v>
      </c>
      <c r="F25" s="1"/>
      <c r="H25" s="3"/>
      <c r="M25"/>
    </row>
    <row r="26" spans="1:13" x14ac:dyDescent="0.3">
      <c r="H26" s="3"/>
      <c r="M26"/>
    </row>
    <row r="27" spans="1:13" x14ac:dyDescent="0.3">
      <c r="H27" s="3"/>
      <c r="M27"/>
    </row>
    <row r="28" spans="1:13" x14ac:dyDescent="0.3">
      <c r="H28" s="3"/>
      <c r="M28"/>
    </row>
    <row r="29" spans="1:13" x14ac:dyDescent="0.3">
      <c r="H29" s="3"/>
      <c r="M29"/>
    </row>
    <row r="30" spans="1:13" x14ac:dyDescent="0.3">
      <c r="H30" s="3"/>
      <c r="M30"/>
    </row>
    <row r="31" spans="1:13" x14ac:dyDescent="0.3">
      <c r="H31" s="3"/>
      <c r="M31"/>
    </row>
    <row r="32" spans="1:13" x14ac:dyDescent="0.3">
      <c r="H32" s="3"/>
      <c r="M32"/>
    </row>
    <row r="33" spans="5:13" x14ac:dyDescent="0.3">
      <c r="H33" s="3"/>
      <c r="M33"/>
    </row>
    <row r="34" spans="5:13" x14ac:dyDescent="0.3">
      <c r="H34" s="3"/>
      <c r="M34"/>
    </row>
    <row r="35" spans="5:13" x14ac:dyDescent="0.3">
      <c r="H35" s="3"/>
      <c r="M35"/>
    </row>
    <row r="36" spans="5:13" x14ac:dyDescent="0.3">
      <c r="E36" s="3"/>
      <c r="H36" s="3"/>
      <c r="M36"/>
    </row>
    <row r="37" spans="5:13" x14ac:dyDescent="0.3">
      <c r="E37" s="3"/>
      <c r="H37" s="3"/>
      <c r="M37"/>
    </row>
    <row r="38" spans="5:13" x14ac:dyDescent="0.3">
      <c r="E38" s="3"/>
      <c r="H38" s="3"/>
      <c r="M38"/>
    </row>
    <row r="39" spans="5:13" x14ac:dyDescent="0.3">
      <c r="E39" s="3"/>
      <c r="H39" s="3"/>
      <c r="M39"/>
    </row>
    <row r="40" spans="5:13" x14ac:dyDescent="0.3">
      <c r="E40" s="3"/>
      <c r="H40" s="3"/>
      <c r="M40"/>
    </row>
    <row r="41" spans="5:13" x14ac:dyDescent="0.3">
      <c r="E41" s="3"/>
      <c r="H41" s="3"/>
      <c r="M41"/>
    </row>
    <row r="42" spans="5:13" x14ac:dyDescent="0.3">
      <c r="E42" s="3"/>
      <c r="H42" s="3"/>
      <c r="M42"/>
    </row>
    <row r="43" spans="5:13" x14ac:dyDescent="0.3">
      <c r="H43" s="3"/>
      <c r="M43"/>
    </row>
    <row r="44" spans="5:13" x14ac:dyDescent="0.3">
      <c r="H44" s="3"/>
      <c r="M44"/>
    </row>
    <row r="45" spans="5:13" x14ac:dyDescent="0.3">
      <c r="H45" s="3"/>
      <c r="M45"/>
    </row>
    <row r="46" spans="5:13" x14ac:dyDescent="0.3">
      <c r="H46" s="3"/>
      <c r="M46"/>
    </row>
    <row r="47" spans="5:13" x14ac:dyDescent="0.3">
      <c r="H47" s="3"/>
      <c r="M47"/>
    </row>
    <row r="48" spans="5:13" x14ac:dyDescent="0.3">
      <c r="H48" s="3"/>
      <c r="M48"/>
    </row>
  </sheetData>
  <mergeCells count="7">
    <mergeCell ref="H1:J1"/>
    <mergeCell ref="K1:M1"/>
    <mergeCell ref="N1:P1"/>
    <mergeCell ref="Q1:S1"/>
    <mergeCell ref="A1:A2"/>
    <mergeCell ref="B1:D1"/>
    <mergeCell ref="E1:G1"/>
  </mergeCells>
  <phoneticPr fontId="1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01F1E-5E44-461E-BDBB-1FDFD771AA68}">
  <dimension ref="A1:S7"/>
  <sheetViews>
    <sheetView zoomScale="55" zoomScaleNormal="55" workbookViewId="0">
      <selection activeCell="S7" sqref="A1:S7"/>
    </sheetView>
  </sheetViews>
  <sheetFormatPr defaultRowHeight="14.4" x14ac:dyDescent="0.3"/>
  <cols>
    <col min="1" max="1" width="10.109375" bestFit="1" customWidth="1"/>
    <col min="2" max="2" width="6.6640625" bestFit="1" customWidth="1"/>
    <col min="3" max="3" width="10.21875" bestFit="1" customWidth="1"/>
    <col min="4" max="4" width="14.21875" bestFit="1" customWidth="1"/>
    <col min="5" max="5" width="6.6640625" bestFit="1" customWidth="1"/>
    <col min="6" max="6" width="10.33203125" bestFit="1" customWidth="1"/>
    <col min="7" max="7" width="14.77734375" bestFit="1" customWidth="1"/>
    <col min="8" max="8" width="6.6640625" bestFit="1" customWidth="1"/>
    <col min="9" max="9" width="10.33203125" bestFit="1" customWidth="1"/>
    <col min="10" max="10" width="14.77734375" bestFit="1" customWidth="1"/>
    <col min="11" max="11" width="6.77734375" bestFit="1" customWidth="1"/>
    <col min="12" max="12" width="10.21875" bestFit="1" customWidth="1"/>
    <col min="13" max="13" width="14.44140625" bestFit="1" customWidth="1"/>
    <col min="14" max="14" width="6.77734375" bestFit="1" customWidth="1"/>
    <col min="15" max="15" width="10.21875" bestFit="1" customWidth="1"/>
    <col min="16" max="16" width="14.44140625" bestFit="1" customWidth="1"/>
    <col min="17" max="17" width="6.77734375" customWidth="1"/>
    <col min="18" max="18" width="10.21875" bestFit="1" customWidth="1"/>
    <col min="19" max="19" width="14.44140625" bestFit="1" customWidth="1"/>
  </cols>
  <sheetData>
    <row r="1" spans="1:19" ht="28.8" customHeight="1" x14ac:dyDescent="0.3">
      <c r="A1" s="26" t="s">
        <v>6</v>
      </c>
      <c r="B1" s="25" t="s">
        <v>7</v>
      </c>
      <c r="C1" s="25"/>
      <c r="D1" s="25"/>
      <c r="E1" s="25" t="s">
        <v>9</v>
      </c>
      <c r="F1" s="25"/>
      <c r="G1" s="25"/>
      <c r="H1" s="25" t="s">
        <v>10</v>
      </c>
      <c r="I1" s="25"/>
      <c r="J1" s="25"/>
      <c r="K1" s="25" t="s">
        <v>11</v>
      </c>
      <c r="L1" s="25"/>
      <c r="M1" s="25"/>
      <c r="N1" s="25" t="s">
        <v>12</v>
      </c>
      <c r="O1" s="25"/>
      <c r="P1" s="25"/>
      <c r="Q1" s="25" t="s">
        <v>13</v>
      </c>
      <c r="R1" s="25"/>
      <c r="S1" s="25"/>
    </row>
    <row r="2" spans="1:19" x14ac:dyDescent="0.3">
      <c r="A2" s="26"/>
      <c r="B2" s="8" t="s">
        <v>8</v>
      </c>
      <c r="C2" s="8" t="s">
        <v>4</v>
      </c>
      <c r="D2" s="8" t="s">
        <v>5</v>
      </c>
      <c r="E2" s="8" t="s">
        <v>8</v>
      </c>
      <c r="F2" s="8" t="s">
        <v>4</v>
      </c>
      <c r="G2" s="8" t="s">
        <v>5</v>
      </c>
      <c r="H2" s="8" t="s">
        <v>8</v>
      </c>
      <c r="I2" s="8" t="s">
        <v>4</v>
      </c>
      <c r="J2" s="8" t="s">
        <v>5</v>
      </c>
      <c r="K2" s="8" t="s">
        <v>8</v>
      </c>
      <c r="L2" s="8" t="s">
        <v>4</v>
      </c>
      <c r="M2" s="8" t="s">
        <v>5</v>
      </c>
      <c r="N2" s="8" t="s">
        <v>8</v>
      </c>
      <c r="O2" s="8" t="s">
        <v>4</v>
      </c>
      <c r="P2" s="8" t="s">
        <v>5</v>
      </c>
      <c r="Q2" s="8" t="s">
        <v>8</v>
      </c>
      <c r="R2" s="8" t="s">
        <v>4</v>
      </c>
      <c r="S2" s="8" t="s">
        <v>5</v>
      </c>
    </row>
    <row r="3" spans="1:19" x14ac:dyDescent="0.3">
      <c r="A3" s="8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spans="1:19" x14ac:dyDescent="0.3">
      <c r="A4" s="8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spans="1:19" x14ac:dyDescent="0.3">
      <c r="A5" s="8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</row>
    <row r="6" spans="1:19" x14ac:dyDescent="0.3">
      <c r="A6" s="8">
        <v>8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</row>
    <row r="7" spans="1:19" x14ac:dyDescent="0.3">
      <c r="A7" s="8">
        <v>16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</row>
  </sheetData>
  <mergeCells count="7">
    <mergeCell ref="Q1:S1"/>
    <mergeCell ref="A1:A2"/>
    <mergeCell ref="B1:D1"/>
    <mergeCell ref="E1:G1"/>
    <mergeCell ref="H1:J1"/>
    <mergeCell ref="K1:M1"/>
    <mergeCell ref="N1:P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Настя</dc:creator>
  <cp:lastModifiedBy>Анастасия Кель</cp:lastModifiedBy>
  <dcterms:created xsi:type="dcterms:W3CDTF">2015-06-05T18:19:34Z</dcterms:created>
  <dcterms:modified xsi:type="dcterms:W3CDTF">2026-10-12T15:39:58Z</dcterms:modified>
</cp:coreProperties>
</file>